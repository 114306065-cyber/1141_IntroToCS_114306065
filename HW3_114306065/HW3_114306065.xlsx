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yu0\Downloads\"/>
    </mc:Choice>
  </mc:AlternateContent>
  <xr:revisionPtr revIDLastSave="0" documentId="13_ncr:1_{E4EB127E-834B-4DA7-BCA9-3673E0BE23B8}" xr6:coauthVersionLast="47" xr6:coauthVersionMax="47" xr10:uidLastSave="{00000000-0000-0000-0000-000000000000}"/>
  <bookViews>
    <workbookView xWindow="-110" yWindow="-110" windowWidth="19420" windowHeight="1150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2" i="1"/>
  <c r="K2" i="1" a="1"/>
  <c r="K2" i="1" s="1"/>
  <c r="D17" i="1"/>
  <c r="C17" i="1"/>
  <c r="J5" i="1"/>
  <c r="K5" i="1" s="1" a="1"/>
  <c r="K5" i="1" s="1"/>
  <c r="J6" i="1"/>
  <c r="K6" i="1" s="1" a="1"/>
  <c r="K6" i="1" s="1"/>
  <c r="J10" i="1"/>
  <c r="L10" i="1" s="1"/>
  <c r="J13" i="1"/>
  <c r="K13" i="1" s="1" a="1"/>
  <c r="K13" i="1" s="1"/>
  <c r="J14" i="1"/>
  <c r="K14" i="1" s="1" a="1"/>
  <c r="K14" i="1" s="1"/>
  <c r="J15" i="1"/>
  <c r="L15" i="1" s="1"/>
  <c r="J2" i="1"/>
  <c r="L2" i="1" s="1"/>
  <c r="H4" i="1"/>
  <c r="J4" i="1" s="1"/>
  <c r="H3" i="1"/>
  <c r="J3" i="1" s="1"/>
  <c r="H2" i="1"/>
  <c r="H5" i="1"/>
  <c r="H6" i="1"/>
  <c r="H7" i="1"/>
  <c r="J7" i="1" s="1"/>
  <c r="L7" i="1" s="1"/>
  <c r="H8" i="1"/>
  <c r="J8" i="1" s="1"/>
  <c r="L8" i="1" s="1"/>
  <c r="H9" i="1"/>
  <c r="J9" i="1" s="1"/>
  <c r="K9" i="1" s="1" a="1"/>
  <c r="K9" i="1" s="1"/>
  <c r="H10" i="1"/>
  <c r="H11" i="1"/>
  <c r="J11" i="1" s="1"/>
  <c r="H12" i="1"/>
  <c r="J12" i="1" s="1"/>
  <c r="H13" i="1"/>
  <c r="H14" i="1"/>
  <c r="H15" i="1"/>
  <c r="L14" i="1" l="1"/>
  <c r="K15" i="1" a="1"/>
  <c r="K15" i="1" s="1"/>
  <c r="L6" i="1"/>
  <c r="L5" i="1"/>
  <c r="H17" i="1"/>
  <c r="L13" i="1"/>
  <c r="L4" i="1"/>
  <c r="K4" i="1" a="1"/>
  <c r="K4" i="1" s="1"/>
  <c r="K12" i="1" a="1"/>
  <c r="K12" i="1" s="1"/>
  <c r="L12" i="1"/>
  <c r="K11" i="1" a="1"/>
  <c r="K11" i="1" s="1"/>
  <c r="L11" i="1"/>
  <c r="L3" i="1"/>
  <c r="K3" i="1" a="1"/>
  <c r="K3" i="1" s="1"/>
  <c r="K10" i="1" a="1"/>
  <c r="K10" i="1" s="1"/>
  <c r="L9" i="1"/>
  <c r="J17" i="1"/>
  <c r="K8" i="1" a="1"/>
  <c r="K8" i="1" s="1"/>
  <c r="K7" i="1" a="1"/>
  <c r="K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<sst xmlns="http://schemas.openxmlformats.org/spreadsheetml/2006/main" count="34" uniqueCount="34">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</sst>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C-40E1-BF61-A0B007573D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7665151"/>
        <c:axId val="1287673311"/>
      </c:barChart>
      <c:catAx>
        <c:axId val="128766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87673311"/>
        <c:crosses val="autoZero"/>
        <c:auto val="1"/>
        <c:lblAlgn val="ctr"/>
        <c:lblOffset val="100"/>
        <c:noMultiLvlLbl val="0"/>
      </c:catAx>
      <c:valAx>
        <c:axId val="12876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8766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altLang="zh-TW">
                <a:solidFill>
                  <a:sysClr val="windowText" lastClr="000000"/>
                </a:solidFill>
              </a:rPr>
              <a:t>proportions</a:t>
            </a:r>
            <a:r>
              <a:rPr lang="zh-TW" altLang="en-US">
                <a:solidFill>
                  <a:sysClr val="windowText" lastClr="000000"/>
                </a:solidFill>
              </a:rPr>
              <a:t> </a:t>
            </a:r>
            <a:r>
              <a:rPr lang="en-US" altLang="zh-TW">
                <a:solidFill>
                  <a:sysClr val="windowText" lastClr="000000"/>
                </a:solidFill>
              </a:rPr>
              <a:t>of pass and fail</a:t>
            </a:r>
            <a:endParaRPr lang="zh-TW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213-4D38-AF11-443B8E917DB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13-4D38-AF11-443B8E917D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工作表1!$M$2:$M$3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工作表1!$N$2:$N$3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3-4D38-AF11-443B8E917DB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24</xdr:row>
      <xdr:rowOff>34925</xdr:rowOff>
    </xdr:from>
    <xdr:to>
      <xdr:col>10</xdr:col>
      <xdr:colOff>285750</xdr:colOff>
      <xdr:row>35</xdr:row>
      <xdr:rowOff>19050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B21BA97-A093-0FF3-76F4-F5F764495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384175</xdr:colOff>
      <xdr:row>16</xdr:row>
      <xdr:rowOff>79375</xdr:rowOff>
    </xdr:from>
    <xdr:to>
      <xdr:col>13</xdr:col>
      <xdr:colOff>514350</xdr:colOff>
      <xdr:row>25</xdr:row>
      <xdr:rowOff>177800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5288D6A-8A61-14BD-5F6B-4A43137AF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N24"/>
  <sheetViews>
    <sheetView tabSelected="1" topLeftCell="C13" workbookViewId="0">
      <selection activeCell="H17" sqref="H17"/>
    </sheetView>
  </sheetViews>
  <sheetFormatPr defaultRowHeight="17"/>
  <cols>
    <col min="3" max="4" width="13" bestFit="1" customWidth="1"/>
    <col min="8" max="8" width="18.6328125" bestFit="1" customWidth="1"/>
    <col min="10" max="10" width="16.08984375" bestFit="1" customWidth="1"/>
    <col min="11" max="11" width="24.1796875" customWidth="1"/>
    <col min="12" max="12" width="23" customWidth="1"/>
    <col min="14" max="14" width="9.1796875" bestFit="1" customWidth="1"/>
  </cols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4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6">
        <f>AVERAGE(H2:I2)</f>
        <v>91.7</v>
      </c>
      <c r="K2" s="5" t="str" cm="1">
        <f t="array" ref="K2">_xlfn.IFS(J2&gt;=90,"A",J2&gt;=80,"B",J2&gt;=70,"C",J2&gt;=60,"D",J2&lt;60,"F")</f>
        <v>A</v>
      </c>
      <c r="L2" s="6" t="str">
        <f>IF(J2&gt;=60,"pass","fail")</f>
        <v>pass</v>
      </c>
      <c r="M2" t="s">
        <v>32</v>
      </c>
      <c r="N2">
        <f>COUNTIF(L2:L15,"pass")</f>
        <v>12</v>
      </c>
    </row>
    <row r="3" spans="1:14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>AVERAGE(C3:G3)</f>
        <v>86</v>
      </c>
      <c r="I3" s="1">
        <v>94</v>
      </c>
      <c r="J3" s="6">
        <f t="shared" ref="J3:J15" si="0">AVERAGE(H3:I3)</f>
        <v>90</v>
      </c>
      <c r="K3" s="6" t="str" cm="1">
        <f t="array" ref="K3">_xlfn.IFS(J3&gt;=90,"A",J3&gt;=80,"B",J3&gt;=70,"C",J3&gt;=60,"D",J3&lt;60,"F")</f>
        <v>A</v>
      </c>
      <c r="L3" s="6" t="str">
        <f t="shared" ref="L3:L15" si="1">IF(J3&gt;=60,"pass","fail")</f>
        <v>pass</v>
      </c>
      <c r="M3" t="s">
        <v>33</v>
      </c>
      <c r="N3">
        <f>COUNTIF(L2:L15,"fail")</f>
        <v>2</v>
      </c>
    </row>
    <row r="4" spans="1:14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>AVERAGE(C4:G4)</f>
        <v>82.4</v>
      </c>
      <c r="I4" s="1">
        <v>80</v>
      </c>
      <c r="J4" s="6">
        <f t="shared" si="0"/>
        <v>81.2</v>
      </c>
      <c r="K4" s="6" t="str" cm="1">
        <f t="array" ref="K4">_xlfn.IFS(J4&gt;=90,"A",J4&gt;=80,"B",J4&gt;=70,"C",J4&gt;=60,"D",J4&lt;60,"F")</f>
        <v>B</v>
      </c>
      <c r="L4" s="6" t="str">
        <f t="shared" si="1"/>
        <v>pass</v>
      </c>
    </row>
    <row r="5" spans="1:14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ref="H5:H15" si="2">AVERAGE(C5:G5)</f>
        <v>81.599999999999994</v>
      </c>
      <c r="I5" s="1">
        <v>80</v>
      </c>
      <c r="J5" s="6">
        <f t="shared" si="0"/>
        <v>80.8</v>
      </c>
      <c r="K5" s="6" t="str" cm="1">
        <f t="array" ref="K5">_xlfn.IFS(J5&gt;=90,"A",J5&gt;=80,"B",J5&gt;=70,"C",J5&gt;=60,"D",J5&lt;60,"F")</f>
        <v>B</v>
      </c>
      <c r="L5" s="6" t="str">
        <f t="shared" si="1"/>
        <v>pass</v>
      </c>
    </row>
    <row r="6" spans="1:14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2"/>
        <v>81.400000000000006</v>
      </c>
      <c r="I6" s="1">
        <v>88</v>
      </c>
      <c r="J6" s="6">
        <f t="shared" si="0"/>
        <v>84.7</v>
      </c>
      <c r="K6" s="6" t="str" cm="1">
        <f t="array" ref="K6">_xlfn.IFS(J6&gt;=90,"A",J6&gt;=80,"B",J6&gt;=70,"C",J6&gt;=60,"D",J6&lt;60,"F")</f>
        <v>B</v>
      </c>
      <c r="L6" s="6" t="str">
        <f t="shared" si="1"/>
        <v>pass</v>
      </c>
    </row>
    <row r="7" spans="1:14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2"/>
        <v>80.599999999999994</v>
      </c>
      <c r="I7" s="1">
        <v>81</v>
      </c>
      <c r="J7" s="6">
        <f t="shared" si="0"/>
        <v>80.8</v>
      </c>
      <c r="K7" s="6" t="str" cm="1">
        <f t="array" ref="K7">_xlfn.IFS(J7&gt;=90,"A",J7&gt;=80,"B",J7&gt;=70,"C",J7&gt;=60,"D",J7&lt;60,"F")</f>
        <v>B</v>
      </c>
      <c r="L7" s="6" t="str">
        <f t="shared" si="1"/>
        <v>pass</v>
      </c>
    </row>
    <row r="8" spans="1:14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2"/>
        <v>78.8</v>
      </c>
      <c r="I8" s="1">
        <v>77</v>
      </c>
      <c r="J8" s="6">
        <f t="shared" si="0"/>
        <v>77.900000000000006</v>
      </c>
      <c r="K8" s="6" t="str" cm="1">
        <f t="array" ref="K8">_xlfn.IFS(J8&gt;=90,"A",J8&gt;=80,"B",J8&gt;=70,"C",J8&gt;=60,"D",J8&lt;60,"F")</f>
        <v>C</v>
      </c>
      <c r="L8" s="6" t="str">
        <f t="shared" si="1"/>
        <v>pass</v>
      </c>
    </row>
    <row r="9" spans="1:14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2"/>
        <v>75.400000000000006</v>
      </c>
      <c r="I9" s="1">
        <v>73</v>
      </c>
      <c r="J9" s="6">
        <f t="shared" si="0"/>
        <v>74.2</v>
      </c>
      <c r="K9" s="6" t="str" cm="1">
        <f t="array" ref="K9">_xlfn.IFS(J9&gt;=90,"A",J9&gt;=80,"B",J9&gt;=70,"C",J9&gt;=60,"D",J9&lt;60,"F")</f>
        <v>C</v>
      </c>
      <c r="L9" s="6" t="str">
        <f t="shared" si="1"/>
        <v>pass</v>
      </c>
    </row>
    <row r="10" spans="1:14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2"/>
        <v>73.400000000000006</v>
      </c>
      <c r="I10" s="1">
        <v>77</v>
      </c>
      <c r="J10" s="6">
        <f t="shared" si="0"/>
        <v>75.2</v>
      </c>
      <c r="K10" s="6" t="str" cm="1">
        <f t="array" ref="K10">_xlfn.IFS(J10&gt;=90,"A",J10&gt;=80,"B",J10&gt;=70,"C",J10&gt;=60,"D",J10&lt;60,"F")</f>
        <v>C</v>
      </c>
      <c r="L10" s="6" t="str">
        <f t="shared" si="1"/>
        <v>pass</v>
      </c>
    </row>
    <row r="11" spans="1:14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2"/>
        <v>73.2</v>
      </c>
      <c r="I11" s="1">
        <v>82</v>
      </c>
      <c r="J11" s="6">
        <f t="shared" si="0"/>
        <v>77.599999999999994</v>
      </c>
      <c r="K11" s="6" t="str" cm="1">
        <f t="array" ref="K11">_xlfn.IFS(J11&gt;=90,"A",J11&gt;=80,"B",J11&gt;=70,"C",J11&gt;=60,"D",J11&lt;60,"F")</f>
        <v>C</v>
      </c>
      <c r="L11" s="6" t="str">
        <f t="shared" si="1"/>
        <v>pass</v>
      </c>
    </row>
    <row r="12" spans="1:14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2"/>
        <v>73.2</v>
      </c>
      <c r="I12" s="1">
        <v>88</v>
      </c>
      <c r="J12" s="6">
        <f t="shared" si="0"/>
        <v>80.599999999999994</v>
      </c>
      <c r="K12" s="6" t="str" cm="1">
        <f t="array" ref="K12">_xlfn.IFS(J12&gt;=90,"A",J12&gt;=80,"B",J12&gt;=70,"C",J12&gt;=60,"D",J12&lt;60,"F")</f>
        <v>B</v>
      </c>
      <c r="L12" s="6" t="str">
        <f t="shared" si="1"/>
        <v>pass</v>
      </c>
    </row>
    <row r="13" spans="1:14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2"/>
        <v>66</v>
      </c>
      <c r="I13" s="1">
        <v>52</v>
      </c>
      <c r="J13" s="6">
        <f t="shared" si="0"/>
        <v>59</v>
      </c>
      <c r="K13" s="6" t="str" cm="1">
        <f t="array" ref="K13">_xlfn.IFS(J13&gt;=90,"A",J13&gt;=80,"B",J13&gt;=70,"C",J13&gt;=60,"D",J13&lt;60,"F")</f>
        <v>F</v>
      </c>
      <c r="L13" s="6" t="str">
        <f t="shared" si="1"/>
        <v>fail</v>
      </c>
    </row>
    <row r="14" spans="1:14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2"/>
        <v>64.8</v>
      </c>
      <c r="I14" s="1">
        <v>69</v>
      </c>
      <c r="J14" s="6">
        <f t="shared" si="0"/>
        <v>66.900000000000006</v>
      </c>
      <c r="K14" s="6" t="str" cm="1">
        <f t="array" ref="K14">_xlfn.IFS(J14&gt;=90,"A",J14&gt;=80,"B",J14&gt;=70,"C",J14&gt;=60,"D",J14&lt;60,"F")</f>
        <v>D</v>
      </c>
      <c r="L14" s="6" t="str">
        <f t="shared" si="1"/>
        <v>pass</v>
      </c>
    </row>
    <row r="15" spans="1:14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2"/>
        <v>57.2</v>
      </c>
      <c r="I15" s="1">
        <v>54</v>
      </c>
      <c r="J15" s="6">
        <f t="shared" si="0"/>
        <v>55.6</v>
      </c>
      <c r="K15" s="6" t="str" cm="1">
        <f t="array" ref="K15">_xlfn.IFS(J15&gt;=90,"A",J15&gt;=80,"B",J15&gt;=70,"C",J15&gt;=60,"D",J15&lt;60,"F")</f>
        <v>F</v>
      </c>
      <c r="L15" s="6" t="str">
        <f t="shared" si="1"/>
        <v>fail</v>
      </c>
    </row>
    <row r="16" spans="1:14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0">
      <c r="C17" s="6">
        <f>MAX(C2:C15)</f>
        <v>98</v>
      </c>
      <c r="D17" s="6">
        <f>LARGE(D2:D15,2)</f>
        <v>92</v>
      </c>
      <c r="E17" s="6"/>
      <c r="F17" s="6"/>
      <c r="G17" s="6"/>
      <c r="H17" s="1">
        <f>COUNTIF(H2:H15,"&lt;80")</f>
        <v>8</v>
      </c>
      <c r="I17" s="6"/>
      <c r="J17" s="6">
        <f>AVERAGE(J2:J15)</f>
        <v>76.871428571428581</v>
      </c>
    </row>
    <row r="24" spans="3:10">
      <c r="J24" s="4" t="s">
        <v>30</v>
      </c>
    </row>
  </sheetData>
  <phoneticPr fontId="2" type="noConversion"/>
  <conditionalFormatting sqref="L2:L15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品頡 何</cp:lastModifiedBy>
  <dcterms:created xsi:type="dcterms:W3CDTF">2023-10-19T05:27:10Z</dcterms:created>
  <dcterms:modified xsi:type="dcterms:W3CDTF">2025-10-07T13:20:37Z</dcterms:modified>
</cp:coreProperties>
</file>